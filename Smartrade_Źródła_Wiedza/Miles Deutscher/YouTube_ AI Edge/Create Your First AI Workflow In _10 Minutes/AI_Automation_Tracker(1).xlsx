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Automation Tracker" sheetId="1" state="visible" r:id="rId3"/>
    <sheet name="Setup 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<sst xmlns="http://schemas.openxmlformats.org/spreadsheetml/2006/main" count="82" uniqueCount="82">
  <si>
    <t xml:space="preserve">AI Automation Tracker</t>
  </si>
  <si>
    <t xml:space="preserve">Build one automation per week. Compound your leverage.</t>
  </si>
  <si>
    <t xml:space="preserve">TOTAL BUILT</t>
  </si>
  <si>
    <t xml:space="preserve">TIME SAVED / WEEK</t>
  </si>
  <si>
    <t xml:space="preserve">AVG IMPACT</t>
  </si>
  <si>
    <t xml:space="preserve">COMPLETION</t>
  </si>
  <si>
    <t xml:space="preserve">automations</t>
  </si>
  <si>
    <t xml:space="preserve">minutes</t>
  </si>
  <si>
    <t xml:space="preserve">out of 10</t>
  </si>
  <si>
    <t xml:space="preserve">of 10 weeks</t>
  </si>
  <si>
    <t xml:space="preserve">WEEKLY PROGRESS</t>
  </si>
  <si>
    <t xml:space="preserve">Week</t>
  </si>
  <si>
    <t xml:space="preserve">Date</t>
  </si>
  <si>
    <t xml:space="preserve">Automation Name</t>
  </si>
  <si>
    <t xml:space="preserve">Workflow Description</t>
  </si>
  <si>
    <t xml:space="preserve">Tool Used</t>
  </si>
  <si>
    <t xml:space="preserve">Time Saved
(min/wk)</t>
  </si>
  <si>
    <t xml:space="preserve">Done</t>
  </si>
  <si>
    <t xml:space="preserve">Impact
(1–10)</t>
  </si>
  <si>
    <t xml:space="preserve">Notes / Improvements</t>
  </si>
  <si>
    <t xml:space="preserve">Week 1</t>
  </si>
  <si>
    <t xml:space="preserve">Morning News Briefing</t>
  </si>
  <si>
    <t xml:space="preserve">Perplexity auto-searches overnight crypto news, macro events, and trending narratives → Claude summarizes into a 5-bullet briefing delivered to Slack by 7am</t>
  </si>
  <si>
    <t xml:space="preserve">Perplexity + Claude</t>
  </si>
  <si>
    <t xml:space="preserve">Added sentiment filter in week 4 — cuts noise by ~60%</t>
  </si>
  <si>
    <t xml:space="preserve">Week 2</t>
  </si>
  <si>
    <t xml:space="preserve">YouTube Thumbnail A/B Variants</t>
  </si>
  <si>
    <t xml:space="preserve">Upload raw thumbnail → Claude generates 3 title/subtitle copy variants with contrast scores → exports sized PNGs ready for upload</t>
  </si>
  <si>
    <t xml:space="preserve">Claude + Canva API</t>
  </si>
  <si>
    <t xml:space="preserve">CTR up ~12% since switching to AI-generated variants</t>
  </si>
  <si>
    <t xml:space="preserve">Week 3</t>
  </si>
  <si>
    <t xml:space="preserve">Research Memo Generator</t>
  </si>
  <si>
    <t xml:space="preserve">Paste a token name or thesis → Claude pulls on-chain data, recent news, and comparable projects → outputs a structured 1-page research memo in my formatting style</t>
  </si>
  <si>
    <t xml:space="preserve">Claude + Dune API</t>
  </si>
  <si>
    <t xml:space="preserve">V1 working but refining the output template — needs tighter formatting on the valuation section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</si>
  <si>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</si>
  <si>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</si>
  <si>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</si>
  <si>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</si>
  <si>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</si>
  <si>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</si>
  <si>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</si>
  <si>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HOW TO SET UP IN GOOGLE SHEETS</t>
  </si>
  <si>
    <t xml:space="preserve">Import this file into Google Sheets and follow these steps to activate interactive features.</t>
  </si>
  <si>
    <t xml:space="preserve">STEP 1: IMPORT</t>
  </si>
  <si>
    <t xml:space="preserve">1. Open Google Sheets → File → Import → Upload this .xlsx file</t>
  </si>
  <si>
    <t xml:space="preserve">2. Choose 'Replace spreadsheet' to preserve formatting</t>
  </si>
  <si>
    <t xml:space="preserve">STEP 2: ADD CHECKBOXES</t>
  </si>
  <si>
    <t xml:space="preserve">1. Select cells H14:H23 (the 'Done' column)</t>
  </si>
  <si>
    <t xml:space="preserve">2. Go to Insert → Checkbox</t>
  </si>
  <si>
    <t xml:space="preserve">3. This converts TRUE/FALSE into clickable checkboxes</t>
  </si>
  <si>
    <t xml:space="preserve">STEP 3: VERIFY IMPACT DROPDOWN</t>
  </si>
  <si>
    <t xml:space="preserve">1. Select cells I14:I23</t>
  </si>
  <si>
    <t xml:space="preserve">2. Data → Data validation → should show 'List of items': 1,2,3,4,5,6,7,8,9,10</t>
  </si>
  <si>
    <t xml:space="preserve">3. If missing: Data → Data validation → List of items → 1,2,3,4,5,6,7,8,9,10</t>
  </si>
  <si>
    <t xml:space="preserve">STEP 4: CHECK CONDITIONAL FORMATTING</t>
  </si>
  <si>
    <t xml:space="preserve">Format → Conditional formatting — verify two rules:</t>
  </si>
  <si>
    <t xml:space="preserve">Rule 1 — Green row on completion:</t>
  </si>
  <si>
    <t xml:space="preserve">  Range: B14:J23 | Custom formula: =$H14=TRUE | Fill: #E8F5E9</t>
  </si>
  <si>
    <t xml:space="preserve">Rule 2 — High-impact highlight:</t>
  </si>
  <si>
    <t xml:space="preserve">  Range: I14:I23 | Cell value ≥ 8 | Fill: #FFF8E1</t>
  </si>
  <si>
    <t xml:space="preserve">STEP 5: DASHBOARD FORMULAS</t>
  </si>
  <si>
    <t xml:space="preserve">These should import automatically. Reference if needed:</t>
  </si>
  <si>
    <t xml:space="preserve">B6 (Total Built):     =COUNTA(D14:D23)</t>
  </si>
  <si>
    <t xml:space="preserve">D6 (Time Saved):      =SUM(G14:G23)</t>
  </si>
  <si>
    <t xml:space="preserve">F6 (Avg Impact):      =IFERROR(AVERAGE(I14:I23),0)</t>
  </si>
  <si>
    <t xml:space="preserve">H6 (Completion):      =COUNTA(D14:D23)</t>
  </si>
  <si>
    <t xml:space="preserve">B10 (Progress Bar):   =REPT("█",COUNTA(D14:D23)*4)&amp;REPT("░",(10-COUNTA(D14:D23))*4)</t>
  </si>
  <si>
    <t xml:space="preserve">B11 (Progress %):     =TEXT(COUNTA(D14:D23)/10*100,"0")&amp;"% Complete"</t>
  </si>
  <si>
    <t xml:space="preserve">STEP 6: PROTECT TEMPLATE (OPTIONAL)</t>
  </si>
  <si>
    <t xml:space="preserve">Right-click sheet tab → Protect sheet → Allow editing in C14:J23 only</t>
  </si>
  <si>
    <t xml:space="preserve">─────────────────────────────────────────────────────</t>
  </si>
  <si>
    <t xml:space="preserve">WEEKLY USE TIPS</t>
  </si>
  <si>
    <t xml:space="preserve">• Fill one row per week — consistency compounds</t>
  </si>
  <si>
    <t xml:space="preserve">• Be specific in Workflow Description — future you needs context</t>
  </si>
  <si>
    <t xml:space="preserve">• Time Saved = minutes per week, estimate conservatively</t>
  </si>
  <si>
    <t xml:space="preserve">• Impact: 1 = nice-to-have, 10 = fundamentally changes your workflow</t>
  </si>
  <si>
    <t xml:space="preserve">• Check 'Done' only when live and running</t>
  </si>
  <si>
    <t xml:space="preserve">• Revisit Notes monthly — automations improve with iteration</t>
  </si>
  <si>
    <t xml:space="preserve">MINDSET</t>
  </si>
  <si>
    <t xml:space="preserve">Each row is a permanent multiplier on your time.</t>
  </si>
  <si>
    <t xml:space="preserve">After 10 weeks, 10 systems running in parallel. That's the goal.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</si>
</sst>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mmm\ d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C1C1E"/>
      <name val="Arial"/>
      <family val="0"/>
      <charset val="1"/>
    </font>
    <font>
      <sz val="10"/>
      <color rgb="FF8E8E93"/>
      <name val="Arial"/>
      <family val="0"/>
      <charset val="1"/>
    </font>
    <font>
      <sz val="9"/>
      <color rgb="FF8E8E93"/>
      <name val="Arial"/>
      <family val="0"/>
      <charset val="1"/>
    </font>
    <font>
      <b val="true"/>
      <sz val="22"/>
      <color rgb="FF1C1C1E"/>
      <name val="Arial"/>
      <family val="0"/>
      <charset val="1"/>
    </font>
    <font>
      <sz val="14"/>
      <color rgb="FF34C759"/>
      <name val="Arial"/>
      <family val="0"/>
      <charset val="1"/>
    </font>
    <font>
      <b val="true"/>
      <sz val="10"/>
      <color rgb="FF1C1C1E"/>
      <name val="Arial"/>
      <family val="0"/>
      <charset val="1"/>
    </font>
    <font>
      <sz val="10"/>
      <color rgb="FF1C1C1E"/>
      <name val="Arial"/>
      <family val="0"/>
      <charset val="1"/>
    </font>
    <font>
      <b val="true"/>
      <sz val="16"/>
      <color rgb="FF1C1C1E"/>
      <name val="Arial"/>
      <family val="0"/>
      <charset val="1"/>
    </font>
    <font>
      <b val="true"/>
      <sz val="11"/>
      <color rgb="FF1C1C1E"/>
      <name val="Arial"/>
      <family val="0"/>
      <charset val="1"/>
    </font>
    <font>
      <sz val="10"/>
      <color rgb="FF007AFF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7"/>
        <bgColor rgb="FFE8F5E9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5EA"/>
      </bottom>
      <diagonal/>
    </border>
    <border diagonalUp="false" diagonalDown="false">
      <left/>
      <right/>
      <top/>
      <bottom style="hair">
        <color rgb="FFE5E5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F8E1"/>
        </patternFill>
      </fill>
    </dxf>
    <dxf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7AFF"/>
      <rgbColor rgb="FFE5E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7"/>
      <rgbColor rgb="FFFAFA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E93"/>
      <rgbColor rgb="FF003366"/>
      <rgbColor rgb="FF34C759"/>
      <rgbColor rgb="FF003300"/>
      <rgbColor rgb="FF333300"/>
      <rgbColor rgb="FF993300"/>
      <rgbColor rgb="FF993366"/>
      <rgbColor rgb="FF333399"/>
      <rgbColor rgb="FF1C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AFF"/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3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28"/>
    <col collapsed="false" customWidth="true" hidden="false" outlineLevel="0" max="11" min="11" style="1" width="3"/>
  </cols>
  <sheetData>
    <row r="1" customFormat="false" ht="12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19.5" hidden="false" customHeight="true" outlineLevel="0" collapsed="false"/>
    <row r="5" customFormat="false" ht="13.5" hidden="false" customHeight="true" outlineLevel="0" collapsed="false"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</row>
    <row r="6" customFormat="false" ht="36" hidden="false" customHeight="true" outlineLevel="0" collapsed="false">
      <c r="B6" s="5" t="n">
        <f aca="false">COUNTA(D14:D23)</f>
        <v>3</v>
      </c>
      <c r="C6" s="5"/>
      <c r="D6" s="5" t="n">
        <f aca="false">SUM(G14:G23)</f>
        <v>165</v>
      </c>
      <c r="E6" s="5"/>
      <c r="F6" s="6" t="n">
        <f aca="false">IFERROR(AVERAGE(I14:I23),0)</f>
        <v>8</v>
      </c>
      <c r="G6" s="6"/>
      <c r="H6" s="5" t="n">
        <f aca="false">COUNTA(D14:D23)</f>
        <v>3</v>
      </c>
      <c r="I6" s="5"/>
    </row>
    <row r="7" customFormat="false" ht="15.75" hidden="false" customHeight="true" outlineLevel="0" collapsed="false">
      <c r="B7" s="7" t="s">
        <v>6</v>
      </c>
      <c r="C7" s="7"/>
      <c r="D7" s="7" t="s">
        <v>7</v>
      </c>
      <c r="E7" s="7"/>
      <c r="F7" s="7" t="s">
        <v>8</v>
      </c>
      <c r="G7" s="7"/>
      <c r="H7" s="7" t="s">
        <v>9</v>
      </c>
      <c r="I7" s="7"/>
    </row>
    <row r="8" customFormat="false" ht="7.5" hidden="false" customHeight="true" outlineLevel="0" collapsed="false"/>
    <row r="9" customFormat="false" ht="18" hidden="false" customHeight="true" outlineLevel="0" collapsed="false">
      <c r="B9" s="8" t="s">
        <v>10</v>
      </c>
      <c r="C9" s="8"/>
    </row>
    <row r="10" customFormat="false" ht="21.75" hidden="false" customHeight="true" outlineLevel="0" collapsed="false">
      <c r="B10" s="9" t="str">
        <f aca="false">REPT("█",COUNTA(D14:D23)*4)&amp;REPT("░",(10-COUNTA(D14:D23))*4)</f>
        <v>████████████░░░░░░░░░░░░░░░░░░░░░░░░░░░░</v>
      </c>
      <c r="C10" s="9"/>
      <c r="D10" s="9"/>
      <c r="E10" s="9"/>
      <c r="F10" s="9"/>
      <c r="G10" s="9"/>
      <c r="H10" s="9"/>
      <c r="I10" s="9"/>
    </row>
    <row r="11" customFormat="false" ht="13.5" hidden="false" customHeight="true" outlineLevel="0" collapsed="false">
      <c r="B11" s="8" t="str">
        <f aca="false">TEXT(COUNTA(D14:D23)/10*100,"0")&amp;"% Complete"</f>
        <v>30% Complete</v>
      </c>
      <c r="C11" s="8"/>
    </row>
    <row r="12" customFormat="false" ht="24" hidden="false" customHeight="true" outlineLevel="0" collapsed="false"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31.5" hidden="false" customHeight="true" outlineLevel="0" collapsed="false">
      <c r="A13" s="11"/>
      <c r="B13" s="11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  <c r="H13" s="11" t="s">
        <v>17</v>
      </c>
      <c r="I13" s="11" t="s">
        <v>18</v>
      </c>
      <c r="J13" s="11" t="s">
        <v>19</v>
      </c>
    </row>
    <row r="14" customFormat="false" ht="36" hidden="false" customHeight="true" outlineLevel="0" collapsed="false">
      <c r="A14" s="12"/>
      <c r="B14" s="13" t="s">
        <v>20</v>
      </c>
      <c r="C14" s="14" t="n">
        <v>45719</v>
      </c>
      <c r="D14" s="15" t="s">
        <v>21</v>
      </c>
      <c r="E14" s="16" t="s">
        <v>22</v>
      </c>
      <c r="F14" s="17" t="s">
        <v>23</v>
      </c>
      <c r="G14" s="18" t="n">
        <v>45</v>
      </c>
      <c r="H14" s="19" t="b">
        <f aca="false">TRUE()</f>
        <v>1</v>
      </c>
      <c r="I14" s="17" t="n">
        <v>8</v>
      </c>
      <c r="J14" s="16" t="s">
        <v>24</v>
      </c>
    </row>
    <row r="15" customFormat="false" ht="36" hidden="false" customHeight="true" outlineLevel="0" collapsed="false">
      <c r="A15" s="20"/>
      <c r="B15" s="21" t="s">
        <v>25</v>
      </c>
      <c r="C15" s="22" t="n">
        <v>45726</v>
      </c>
      <c r="D15" s="23" t="s">
        <v>26</v>
      </c>
      <c r="E15" s="24" t="s">
        <v>27</v>
      </c>
      <c r="F15" s="25" t="s">
        <v>28</v>
      </c>
      <c r="G15" s="26" t="n">
        <v>30</v>
      </c>
      <c r="H15" s="27" t="b">
        <f aca="false">TRUE()</f>
        <v>1</v>
      </c>
      <c r="I15" s="25" t="n">
        <v>7</v>
      </c>
      <c r="J15" s="24" t="s">
        <v>29</v>
      </c>
    </row>
    <row r="16" customFormat="false" ht="36" hidden="false" customHeight="true" outlineLevel="0" collapsed="false">
      <c r="A16" s="12"/>
      <c r="B16" s="13" t="s">
        <v>30</v>
      </c>
      <c r="C16" s="14" t="n">
        <v>45733</v>
      </c>
      <c r="D16" s="15" t="s">
        <v>31</v>
      </c>
      <c r="E16" s="16" t="s">
        <v>32</v>
      </c>
      <c r="F16" s="17" t="s">
        <v>33</v>
      </c>
      <c r="G16" s="18" t="n">
        <v>90</v>
      </c>
      <c r="H16" s="19" t="b">
        <f aca="false">FALSE()</f>
        <v>0</v>
      </c>
      <c r="I16" s="17" t="n">
        <v>9</v>
      </c>
      <c r="J16" s="16" t="s">
        <v>34</v>
      </c>
    </row>
    <row r="17" customFormat="false" ht="36" hidden="false" customHeight="true" outlineLevel="0" collapsed="false">
      <c r="A17" s="20"/>
      <c r="B17" s="21" t="s">
        <v>35</v>
      </c>
      <c r="C17" s="22"/>
      <c r="D17" s="23"/>
      <c r="E17" s="24"/>
      <c r="F17" s="25"/>
      <c r="G17" s="26"/>
      <c r="H17" s="27" t="b">
        <f aca="false">FALSE()</f>
        <v>0</v>
      </c>
      <c r="I17" s="25"/>
      <c r="J17" s="24"/>
    </row>
    <row r="18" customFormat="false" ht="36" hidden="false" customHeight="true" outlineLevel="0" collapsed="false">
      <c r="A18" s="12"/>
      <c r="B18" s="13" t="s">
        <v>36</v>
      </c>
      <c r="C18" s="14"/>
      <c r="D18" s="15"/>
      <c r="E18" s="16"/>
      <c r="F18" s="17"/>
      <c r="G18" s="18"/>
      <c r="H18" s="19" t="b">
        <f aca="false">FALSE()</f>
        <v>0</v>
      </c>
      <c r="I18" s="17"/>
      <c r="J18" s="16"/>
    </row>
    <row r="19" customFormat="false" ht="36" hidden="false" customHeight="true" outlineLevel="0" collapsed="false">
      <c r="A19" s="20"/>
      <c r="B19" s="21" t="s">
        <v>37</v>
      </c>
      <c r="C19" s="22"/>
      <c r="D19" s="23"/>
      <c r="E19" s="24"/>
      <c r="F19" s="25"/>
      <c r="G19" s="26"/>
      <c r="H19" s="27" t="b">
        <f aca="false">FALSE()</f>
        <v>0</v>
      </c>
      <c r="I19" s="25"/>
      <c r="J19" s="24"/>
    </row>
    <row r="20" customFormat="false" ht="36" hidden="false" customHeight="true" outlineLevel="0" collapsed="false">
      <c r="A20" s="12"/>
      <c r="B20" s="13" t="s">
        <v>38</v>
      </c>
      <c r="C20" s="14"/>
      <c r="D20" s="15"/>
      <c r="E20" s="16"/>
      <c r="F20" s="17"/>
      <c r="G20" s="18"/>
      <c r="H20" s="19" t="b">
        <f aca="false">FALSE()</f>
        <v>0</v>
      </c>
      <c r="I20" s="17"/>
      <c r="J20" s="16"/>
    </row>
    <row r="21" customFormat="false" ht="36" hidden="false" customHeight="true" outlineLevel="0" collapsed="false">
      <c r="A21" s="20"/>
      <c r="B21" s="21" t="s">
        <v>39</v>
      </c>
      <c r="C21" s="22"/>
      <c r="D21" s="23"/>
      <c r="E21" s="24"/>
      <c r="F21" s="25"/>
      <c r="G21" s="26"/>
      <c r="H21" s="27" t="b">
        <f aca="false">FALSE()</f>
        <v>0</v>
      </c>
      <c r="I21" s="25"/>
      <c r="J21" s="24"/>
    </row>
    <row r="22" customFormat="false" ht="36" hidden="false" customHeight="true" outlineLevel="0" collapsed="false">
      <c r="A22" s="12"/>
      <c r="B22" s="13" t="s">
        <v>40</v>
      </c>
      <c r="C22" s="14"/>
      <c r="D22" s="15"/>
      <c r="E22" s="16"/>
      <c r="F22" s="17"/>
      <c r="G22" s="18"/>
      <c r="H22" s="19" t="b">
        <f aca="false">FALSE()</f>
        <v>0</v>
      </c>
      <c r="I22" s="17"/>
      <c r="J22" s="16"/>
    </row>
    <row r="23" customFormat="false" ht="36" hidden="false" customHeight="true" outlineLevel="0" collapsed="false">
      <c r="A23" s="20"/>
      <c r="B23" s="21" t="s">
        <v>41</v>
      </c>
      <c r="C23" s="22"/>
      <c r="D23" s="23"/>
      <c r="E23" s="24"/>
      <c r="F23" s="25"/>
      <c r="G23" s="26"/>
      <c r="H23" s="27" t="b">
        <f aca="false">FALSE()</f>
        <v>0</v>
      </c>
      <c r="I23" s="25"/>
      <c r="J23" s="24"/>
    </row>
  </sheetData>
  <mergeCells count="17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C9"/>
    <mergeCell ref="B10:I10"/>
    <mergeCell ref="B11:C11"/>
  </mergeCells>
  <conditionalFormatting sqref="I14:I23">
    <cfRule type="cellIs" priority="2" operator="greaterThanOrEqual" aboveAverage="0" equalAverage="0" bottom="0" percent="0" rank="0" text="" dxfId="0">
      <formula>8</formula>
    </cfRule>
  </conditionalFormatting>
  <conditionalFormatting sqref="B14:J14">
    <cfRule type="expression" priority="3" aboveAverage="0" equalAverage="0" bottom="0" percent="0" rank="0" text="" dxfId="1">
      <formula>$H14=1</formula>
    </cfRule>
  </conditionalFormatting>
  <conditionalFormatting sqref="B15:J15">
    <cfRule type="expression" priority="4" aboveAverage="0" equalAverage="0" bottom="0" percent="0" rank="0" text="" dxfId="1">
      <formula>$H15=1</formula>
    </cfRule>
  </conditionalFormatting>
  <conditionalFormatting sqref="B16:J16">
    <cfRule type="expression" priority="5" aboveAverage="0" equalAverage="0" bottom="0" percent="0" rank="0" text="" dxfId="1">
      <formula>$H16=1</formula>
    </cfRule>
  </conditionalFormatting>
  <conditionalFormatting sqref="B17:J17">
    <cfRule type="expression" priority="6" aboveAverage="0" equalAverage="0" bottom="0" percent="0" rank="0" text="" dxfId="1">
      <formula>$H17=1</formula>
    </cfRule>
  </conditionalFormatting>
  <conditionalFormatting sqref="B18:J18">
    <cfRule type="expression" priority="7" aboveAverage="0" equalAverage="0" bottom="0" percent="0" rank="0" text="" dxfId="1">
      <formula>$H18=1</formula>
    </cfRule>
  </conditionalFormatting>
  <conditionalFormatting sqref="B19:J19">
    <cfRule type="expression" priority="8" aboveAverage="0" equalAverage="0" bottom="0" percent="0" rank="0" text="" dxfId="1">
      <formula>$H19=1</formula>
    </cfRule>
  </conditionalFormatting>
  <conditionalFormatting sqref="B20:J20">
    <cfRule type="expression" priority="9" aboveAverage="0" equalAverage="0" bottom="0" percent="0" rank="0" text="" dxfId="1">
      <formula>$H20=1</formula>
    </cfRule>
  </conditionalFormatting>
  <conditionalFormatting sqref="B21:J21">
    <cfRule type="expression" priority="10" aboveAverage="0" equalAverage="0" bottom="0" percent="0" rank="0" text="" dxfId="1">
      <formula>$H21=1</formula>
    </cfRule>
  </conditionalFormatting>
  <conditionalFormatting sqref="B22:J22">
    <cfRule type="expression" priority="11" aboveAverage="0" equalAverage="0" bottom="0" percent="0" rank="0" text="" dxfId="1">
      <formula>$H22=1</formula>
    </cfRule>
  </conditionalFormatting>
  <conditionalFormatting sqref="B23:J23">
    <cfRule type="expression" priority="12" aboveAverage="0" equalAverage="0" bottom="0" percent="0" rank="0" text="" dxfId="1">
      <formula>$H23=1</formula>
    </cfRule>
  </conditionalFormatting>
  <dataValidations count="1">
    <dataValidation allowBlank="true" error="Select 1-10" errorStyle="stop" operator="between" showDropDown="false" showErrorMessage="false" showInputMessage="false" sqref="I14:I23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C759"/>
    <pageSetUpPr fitToPage="false"/>
  </sheetPr>
  <dimension ref="B1: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0"/>
  </cols>
  <sheetData>
    <row r="1" customFormat="false" ht="15" hidden="false" customHeight="true" outlineLevel="0" collapsed="false">
      <c r="B1" s="28"/>
    </row>
    <row r="2" customFormat="false" ht="19.5" hidden="false" customHeight="true" outlineLevel="0" collapsed="false">
      <c r="B2" s="29" t="s">
        <v>42</v>
      </c>
    </row>
    <row r="3" customFormat="false" ht="15" hidden="false" customHeight="true" outlineLevel="0" collapsed="false">
      <c r="B3" s="28"/>
    </row>
    <row r="4" customFormat="false" ht="15" hidden="false" customHeight="true" outlineLevel="0" collapsed="false">
      <c r="B4" s="28" t="s">
        <v>43</v>
      </c>
    </row>
    <row r="5" customFormat="false" ht="15" hidden="false" customHeight="true" outlineLevel="0" collapsed="false">
      <c r="B5" s="28"/>
    </row>
    <row r="6" customFormat="false" ht="15" hidden="false" customHeight="true" outlineLevel="0" collapsed="false">
      <c r="B6" s="30" t="s">
        <v>44</v>
      </c>
    </row>
    <row r="7" customFormat="false" ht="15" hidden="false" customHeight="true" outlineLevel="0" collapsed="false">
      <c r="B7" s="28" t="s">
        <v>45</v>
      </c>
    </row>
    <row r="8" customFormat="false" ht="15" hidden="false" customHeight="true" outlineLevel="0" collapsed="false">
      <c r="B8" s="28" t="s">
        <v>46</v>
      </c>
    </row>
    <row r="9" customFormat="false" ht="15" hidden="false" customHeight="true" outlineLevel="0" collapsed="false">
      <c r="B9" s="28"/>
    </row>
    <row r="10" customFormat="false" ht="15" hidden="false" customHeight="true" outlineLevel="0" collapsed="false">
      <c r="B10" s="30" t="s">
        <v>47</v>
      </c>
    </row>
    <row r="11" customFormat="false" ht="15" hidden="false" customHeight="true" outlineLevel="0" collapsed="false">
      <c r="B11" s="28" t="s">
        <v>48</v>
      </c>
    </row>
    <row r="12" customFormat="false" ht="15" hidden="false" customHeight="true" outlineLevel="0" collapsed="false">
      <c r="B12" s="28" t="s">
        <v>49</v>
      </c>
    </row>
    <row r="13" customFormat="false" ht="15" hidden="false" customHeight="true" outlineLevel="0" collapsed="false">
      <c r="B13" s="28" t="s">
        <v>50</v>
      </c>
    </row>
    <row r="14" customFormat="false" ht="15" hidden="false" customHeight="true" outlineLevel="0" collapsed="false">
      <c r="B14" s="28"/>
    </row>
    <row r="15" customFormat="false" ht="15" hidden="false" customHeight="true" outlineLevel="0" collapsed="false">
      <c r="B15" s="30" t="s">
        <v>51</v>
      </c>
    </row>
    <row r="16" customFormat="false" ht="15" hidden="false" customHeight="true" outlineLevel="0" collapsed="false">
      <c r="B16" s="28" t="s">
        <v>52</v>
      </c>
    </row>
    <row r="17" customFormat="false" ht="15" hidden="false" customHeight="true" outlineLevel="0" collapsed="false">
      <c r="B17" s="28" t="s">
        <v>53</v>
      </c>
    </row>
    <row r="18" customFormat="false" ht="15" hidden="false" customHeight="true" outlineLevel="0" collapsed="false">
      <c r="B18" s="28" t="s">
        <v>54</v>
      </c>
    </row>
    <row r="19" customFormat="false" ht="15" hidden="false" customHeight="true" outlineLevel="0" collapsed="false">
      <c r="B19" s="28"/>
    </row>
    <row r="20" customFormat="false" ht="15" hidden="false" customHeight="true" outlineLevel="0" collapsed="false">
      <c r="B20" s="30" t="s">
        <v>55</v>
      </c>
    </row>
    <row r="21" customFormat="false" ht="15" hidden="false" customHeight="true" outlineLevel="0" collapsed="false">
      <c r="B21" s="28" t="s">
        <v>56</v>
      </c>
    </row>
    <row r="22" customFormat="false" ht="15" hidden="false" customHeight="true" outlineLevel="0" collapsed="false">
      <c r="B22" s="28"/>
    </row>
    <row r="23" customFormat="false" ht="15" hidden="false" customHeight="true" outlineLevel="0" collapsed="false">
      <c r="B23" s="28" t="s">
        <v>57</v>
      </c>
    </row>
    <row r="24" customFormat="false" ht="15" hidden="false" customHeight="true" outlineLevel="0" collapsed="false">
      <c r="B24" s="28" t="s">
        <v>58</v>
      </c>
    </row>
    <row r="25" customFormat="false" ht="15" hidden="false" customHeight="true" outlineLevel="0" collapsed="false">
      <c r="B25" s="28"/>
    </row>
    <row r="26" customFormat="false" ht="15" hidden="false" customHeight="true" outlineLevel="0" collapsed="false">
      <c r="B26" s="28" t="s">
        <v>59</v>
      </c>
    </row>
    <row r="27" customFormat="false" ht="15" hidden="false" customHeight="true" outlineLevel="0" collapsed="false">
      <c r="B27" s="28" t="s">
        <v>60</v>
      </c>
    </row>
    <row r="28" customFormat="false" ht="15" hidden="false" customHeight="true" outlineLevel="0" collapsed="false">
      <c r="B28" s="28"/>
    </row>
    <row r="29" customFormat="false" ht="15" hidden="false" customHeight="true" outlineLevel="0" collapsed="false">
      <c r="B29" s="30" t="s">
        <v>61</v>
      </c>
    </row>
    <row r="30" customFormat="false" ht="15" hidden="false" customHeight="true" outlineLevel="0" collapsed="false">
      <c r="B30" s="28" t="s">
        <v>62</v>
      </c>
    </row>
    <row r="31" customFormat="false" ht="15" hidden="false" customHeight="true" outlineLevel="0" collapsed="false">
      <c r="B31" s="28"/>
    </row>
    <row r="32" customFormat="false" ht="15" hidden="false" customHeight="true" outlineLevel="0" collapsed="false">
      <c r="B32" s="31" t="s">
        <v>63</v>
      </c>
    </row>
    <row r="33" customFormat="false" ht="15" hidden="false" customHeight="true" outlineLevel="0" collapsed="false">
      <c r="B33" s="31" t="s">
        <v>64</v>
      </c>
    </row>
    <row r="34" customFormat="false" ht="15" hidden="false" customHeight="true" outlineLevel="0" collapsed="false">
      <c r="B34" s="31" t="s">
        <v>65</v>
      </c>
    </row>
    <row r="35" customFormat="false" ht="15" hidden="false" customHeight="true" outlineLevel="0" collapsed="false">
      <c r="B35" s="31" t="s">
        <v>66</v>
      </c>
    </row>
    <row r="36" customFormat="false" ht="15" hidden="false" customHeight="true" outlineLevel="0" collapsed="false">
      <c r="B36" s="28"/>
    </row>
    <row r="37" customFormat="false" ht="23.25" hidden="false" customHeight="true" outlineLevel="0" collapsed="false">
      <c r="B37" s="31" t="s">
        <v>67</v>
      </c>
    </row>
    <row r="38" customFormat="false" ht="15" hidden="false" customHeight="true" outlineLevel="0" collapsed="false">
      <c r="B38" s="31" t="s">
        <v>68</v>
      </c>
    </row>
    <row r="39" customFormat="false" ht="15" hidden="false" customHeight="true" outlineLevel="0" collapsed="false">
      <c r="B39" s="28"/>
    </row>
    <row r="40" customFormat="false" ht="15" hidden="false" customHeight="true" outlineLevel="0" collapsed="false">
      <c r="B40" s="30" t="s">
        <v>69</v>
      </c>
    </row>
    <row r="41" customFormat="false" ht="15" hidden="false" customHeight="true" outlineLevel="0" collapsed="false">
      <c r="B41" s="28" t="s">
        <v>70</v>
      </c>
    </row>
    <row r="42" customFormat="false" ht="15" hidden="false" customHeight="true" outlineLevel="0" collapsed="false">
      <c r="B42" s="28"/>
    </row>
    <row r="43" customFormat="false" ht="15" hidden="false" customHeight="true" outlineLevel="0" collapsed="false">
      <c r="B43" s="28" t="s">
        <v>71</v>
      </c>
    </row>
    <row r="44" customFormat="false" ht="15" hidden="false" customHeight="true" outlineLevel="0" collapsed="false">
      <c r="B44" s="28"/>
    </row>
    <row r="45" customFormat="false" ht="15" hidden="false" customHeight="true" outlineLevel="0" collapsed="false">
      <c r="B45" s="30" t="s">
        <v>72</v>
      </c>
    </row>
    <row r="46" customFormat="false" ht="15" hidden="false" customHeight="true" outlineLevel="0" collapsed="false">
      <c r="B46" s="28"/>
    </row>
    <row r="47" customFormat="false" ht="15" hidden="false" customHeight="true" outlineLevel="0" collapsed="false">
      <c r="B47" s="28" t="s">
        <v>73</v>
      </c>
    </row>
    <row r="48" customFormat="false" ht="15" hidden="false" customHeight="true" outlineLevel="0" collapsed="false">
      <c r="B48" s="28" t="s">
        <v>74</v>
      </c>
    </row>
    <row r="49" customFormat="false" ht="15" hidden="false" customHeight="true" outlineLevel="0" collapsed="false">
      <c r="B49" s="28" t="s">
        <v>75</v>
      </c>
    </row>
    <row r="50" customFormat="false" ht="15" hidden="false" customHeight="true" outlineLevel="0" collapsed="false">
      <c r="B50" s="28" t="s">
        <v>76</v>
      </c>
    </row>
    <row r="51" customFormat="false" ht="15" hidden="false" customHeight="true" outlineLevel="0" collapsed="false">
      <c r="B51" s="28" t="s">
        <v>77</v>
      </c>
    </row>
    <row r="52" customFormat="false" ht="15" hidden="false" customHeight="true" outlineLevel="0" collapsed="false">
      <c r="B52" s="28" t="s">
        <v>78</v>
      </c>
    </row>
    <row r="53" customFormat="false" ht="15" hidden="false" customHeight="true" outlineLevel="0" collapsed="false">
      <c r="B53" s="28"/>
    </row>
    <row r="54" customFormat="false" ht="15" hidden="false" customHeight="true" outlineLevel="0" collapsed="false">
      <c r="B54" s="30" t="s">
        <v>79</v>
      </c>
    </row>
    <row r="55" customFormat="false" ht="15" hidden="false" customHeight="true" outlineLevel="0" collapsed="false">
      <c r="B55" s="28"/>
    </row>
    <row r="56" customFormat="false" ht="15" hidden="false" customHeight="true" outlineLevel="0" collapsed="false">
      <c r="B56" s="28" t="s">
        <v>80</v>
      </c>
    </row>
    <row r="57" customFormat="false" ht="15" hidden="false" customHeight="true" outlineLevel="0" collapsed="false">
      <c r="B57" s="28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2026-02-27T15:43:24Z</dcterms:created>
  <dc:creator>openpyxl</dc:creator>
  <dc:description/>
  <dc:language>en-US</dc:language>
  <cp:lastModifiedBy/>
  <dcterms:modified xsi:type="dcterms:W3CDTF">2026-02-27T15:45:06Z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