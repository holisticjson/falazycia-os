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Automation Tracker" sheetId="1" r:id="rId5"/>
    <sheet state="visible" name="Setup Instructions" sheetId="2" r:id="rId6"/>
  </sheets>
  <definedNames/>
  <calcPr/>
</workbook>
</file>

<file path=xl/sharedStrings.xml><?xml version="1.0" encoding="utf-8"?>
<sst xmlns="http://schemas.openxmlformats.org/spreadsheetml/2006/main" count="82" uniqueCount="82">
  <si>
    <t>AI Automation Tracker</t>
  </si>
  <si>
    <t>Build one automation per week. Compound your leverage.</t>
  </si>
  <si>
    <t>TOTAL BUILT</t>
  </si>
  <si>
    <t>TIME SAVED / WEEK</t>
  </si>
  <si>
    <t>AVG IMPACT</t>
  </si>
  <si>
    <t>COMPLETION</t>
  </si>
  <si>
    <t>automations</t>
  </si>
  <si>
    <t>minutes</t>
  </si>
  <si>
    <t>out of 10</t>
  </si>
  <si>
    <t>of 10 weeks</t>
  </si>
  <si>
    <t>WEEKLY PROGRESS</t>
  </si>
  <si>
    <t>Week</t>
  </si>
  <si>
    <t>Date</t>
  </si>
  <si>
    <t>Automation Name</t>
  </si>
  <si>
    <t>Workflow Description</t>
  </si>
  <si>
    <t>Tool Used</t>
  </si>
  <si>
    <t>Time Saved
(min/wk)</t>
  </si>
  <si>
    <t>Done</t>
  </si>
  <si>
    <t>Impact
(1–10)</t>
  </si>
  <si>
    <t>Notes / Improvements</t>
  </si>
  <si>
    <t>Week 1</t>
  </si>
  <si>
    <t>Morning News Briefing</t>
  </si>
  <si>
    <t>Perplexity auto-searches overnight crypto news, macro events, and trending narratives → Claude summarizes into a 5-bullet briefing delivered to Slack by 7am</t>
  </si>
  <si>
    <t>Perplexity + Claude</t>
  </si>
  <si>
    <t>Added sentiment filter in week 4 — cuts noise by ~60%</t>
  </si>
  <si>
    <t>Week 2</t>
  </si>
  <si>
    <t>YouTube Thumbnail A/B Variants</t>
  </si>
  <si>
    <t>Upload raw thumbnail → Claude generates 3 title/subtitle copy variants with contrast scores → exports sized PNGs ready for upload</t>
  </si>
  <si>
    <t>Claude + Canva API</t>
  </si>
  <si>
    <t>CTR up ~12% since switching to AI-generated variants</t>
  </si>
  <si>
    <t>Week 3</t>
  </si>
  <si>
    <t>Research Memo Generator</t>
  </si>
  <si>
    <t>Paste a token name or thesis → Claude pulls on-chain data, recent news, and comparable projects → outputs a structured 1-page research memo in my formatting style</t>
  </si>
  <si>
    <t>Claude + Dune API</t>
  </si>
  <si>
    <t>V1 working but refining the output template — needs tighter formatting on the valuation section</t>
  </si>
  <si>
    <t>Week 4</t>
  </si>
  <si>
    <t>Week 5</t>
  </si>
  <si>
    <t>Week 6</t>
  </si>
  <si>
    <t>Week 7</t>
  </si>
  <si>
    <t>Week 8</t>
  </si>
  <si>
    <t>Week 9</t>
  </si>
  <si>
    <t>Week 10</t>
  </si>
  <si>
    <t>HOW TO SET UP IN GOOGLE SHEETS</t>
  </si>
  <si>
    <t>Import this file into Google Sheets and follow these steps to activate interactive features.</t>
  </si>
  <si>
    <t>STEP 1: IMPORT</t>
  </si>
  <si>
    <t>1. Open Google Sheets → File → Import → Upload this .xlsx file</t>
  </si>
  <si>
    <t>2. Choose 'Replace spreadsheet' to preserve formatting</t>
  </si>
  <si>
    <t>STEP 2: ADD CHECKBOXES</t>
  </si>
  <si>
    <t>1. Select cells H14:H23 (the 'Done' column)</t>
  </si>
  <si>
    <t>2. Go to Insert → Checkbox</t>
  </si>
  <si>
    <t>3. This converts TRUE/FALSE into clickable checkboxes</t>
  </si>
  <si>
    <t>STEP 3: VERIFY IMPACT DROPDOWN</t>
  </si>
  <si>
    <t>1. Select cells I14:I23</t>
  </si>
  <si>
    <t>2. Data → Data validation → should show 'List of items': 1,2,3,4,5,6,7,8,9,10</t>
  </si>
  <si>
    <t>3. If missing: Data → Data validation → List of items → 1,2,3,4,5,6,7,8,9,10</t>
  </si>
  <si>
    <t>STEP 4: CHECK CONDITIONAL FORMATTING</t>
  </si>
  <si>
    <t>Format → Conditional formatting — verify two rules:</t>
  </si>
  <si>
    <t>Rule 1 — Green row on completion:</t>
  </si>
  <si>
    <t xml:space="preserve">  Range: B14:J23 | Custom formula: =$H14=TRUE | Fill: #E8F5E9</t>
  </si>
  <si>
    <t>Rule 2 — High-impact highlight:</t>
  </si>
  <si>
    <t xml:space="preserve">  Range: I14:I23 | Cell value ≥ 8 | Fill: #FFF8E1</t>
  </si>
  <si>
    <t>STEP 5: DASHBOARD FORMULAS</t>
  </si>
  <si>
    <t>These should import automatically. Reference if needed:</t>
  </si>
  <si>
    <t>B6 (Total Built):     =COUNTA(D14:D23)</t>
  </si>
  <si>
    <t>D6 (Time Saved):      =SUM(G14:G23)</t>
  </si>
  <si>
    <t>F6 (Avg Impact):      =IFERROR(AVERAGE(I14:I23),0)</t>
  </si>
  <si>
    <t>H6 (Completion):      =COUNTA(D14:D23)</t>
  </si>
  <si>
    <t>B10 (Progress Bar):   =REPT("█",COUNTA(D14:D23)*4)&amp;REPT("░",(10-COUNTA(D14:D23))*4)</t>
  </si>
  <si>
    <t>B11 (Progress %):     =TEXT(COUNTA(D14:D23)/10*100,"0")&amp;"% Complete"</t>
  </si>
  <si>
    <t>STEP 6: PROTECT TEMPLATE (OPTIONAL)</t>
  </si>
  <si>
    <t>Right-click sheet tab → Protect sheet → Allow editing in C14:J23 only</t>
  </si>
  <si>
    <t>─────────────────────────────────────────────────────</t>
  </si>
  <si>
    <t>WEEKLY USE TIPS</t>
  </si>
  <si>
    <t>• Fill one row per week — consistency compounds</t>
  </si>
  <si>
    <t>• Be specific in Workflow Description — future you needs context</t>
  </si>
  <si>
    <t>• Time Saved = minutes per week, estimate conservatively</t>
  </si>
  <si>
    <t>• Impact: 1 = nice-to-have, 10 = fundamentally changes your workflow</t>
  </si>
  <si>
    <t>• Check 'Done' only when live and running</t>
  </si>
  <si>
    <t>• Revisit Notes monthly — automations improve with iteration</t>
  </si>
  <si>
    <t>MINDSET</t>
  </si>
  <si>
    <t>Each row is a permanent multiplier on your time.</t>
  </si>
  <si>
    <t>After 10 weeks, 10 systems running in parallel. That's the goal.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</si>
</sst>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mm\ d"/>
  </numFmts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rgb="FF1C1C1E"/>
      <name val="Arial"/>
    </font>
    <font>
      <sz val="10.0"/>
      <color rgb="FF8E8E93"/>
      <name val="Arial"/>
    </font>
    <font>
      <sz val="9.0"/>
      <color rgb="FF8E8E93"/>
      <name val="Arial"/>
    </font>
    <font>
      <b/>
      <sz val="22.0"/>
      <color rgb="FF1C1C1E"/>
      <name val="Arial"/>
    </font>
    <font>
      <sz val="14.0"/>
      <color rgb="FF34C759"/>
      <name val="Arial"/>
    </font>
    <font>
      <b/>
      <sz val="10.0"/>
      <color rgb="FF1C1C1E"/>
      <name val="Arial"/>
    </font>
    <font>
      <sz val="10.0"/>
      <color rgb="FF1C1C1E"/>
      <name val="Arial"/>
    </font>
    <font>
      <b/>
      <sz val="16.0"/>
      <color rgb="FF1C1C1E"/>
      <name val="Arial"/>
    </font>
    <font>
      <b/>
      <sz val="11.0"/>
      <color rgb="FF1C1C1E"/>
      <name val="Arial"/>
    </font>
    <font>
      <sz val="10.0"/>
      <color rgb="FF007AFF"/>
      <name val="Courier New"/>
    </font>
  </fonts>
  <fills count="5">
    <fill>
      <patternFill patternType="none"/>
    </fill>
    <fill>
      <patternFill patternType="lightGray"/>
    </fill>
    <fill>
      <patternFill patternType="solid">
        <fgColor rgb="FFF2F2F7"/>
        <bgColor rgb="FFF2F2F7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</fills>
  <borders count="5">
    <border/>
    <border>
      <bottom style="thin">
        <color rgb="FFE5E5EA"/>
      </bottom>
    </border>
    <border>
      <left/>
      <right/>
      <top/>
      <bottom style="thin">
        <color rgb="FFE5E5EA"/>
      </bottom>
    </border>
    <border>
      <left/>
      <right/>
      <top/>
      <bottom/>
    </border>
    <border>
      <left/>
      <right/>
      <top/>
      <bottom style="hair">
        <color rgb="FFE5E5EA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top" wrapText="0"/>
    </xf>
    <xf borderId="0" fillId="0" fontId="4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center" wrapText="0"/>
    </xf>
    <xf borderId="0" fillId="0" fontId="5" numFmtId="1" xfId="0" applyAlignment="1" applyFont="1" applyNumberFormat="1">
      <alignment horizontal="center" shrinkToFit="0" vertical="center" wrapText="0"/>
    </xf>
    <xf borderId="0" fillId="0" fontId="5" numFmtId="164" xfId="0" applyAlignment="1" applyFont="1" applyNumberFormat="1">
      <alignment horizontal="center" shrinkToFit="0" vertical="center" wrapText="0"/>
    </xf>
    <xf borderId="0" fillId="0" fontId="4" numFmtId="0" xfId="0" applyAlignment="1" applyFont="1">
      <alignment horizontal="center" shrinkToFit="0" vertical="top" wrapText="0"/>
    </xf>
    <xf borderId="0" fillId="0" fontId="4" numFmtId="0" xfId="0" applyAlignment="1" applyFont="1">
      <alignment shrinkToFit="0" vertical="bottom" wrapText="0"/>
    </xf>
    <xf borderId="0" fillId="0" fontId="6" numFmtId="0" xfId="0" applyAlignment="1" applyFont="1">
      <alignment horizontal="left" shrinkToFit="0" vertical="center" wrapText="0"/>
    </xf>
    <xf borderId="1" fillId="0" fontId="1" numFmtId="0" xfId="0" applyAlignment="1" applyBorder="1" applyFont="1">
      <alignment shrinkToFit="0" vertical="bottom" wrapText="0"/>
    </xf>
    <xf borderId="2" fillId="2" fontId="7" numFmtId="0" xfId="0" applyAlignment="1" applyBorder="1" applyFill="1" applyFont="1">
      <alignment horizontal="center" shrinkToFit="0" vertical="center" wrapText="1"/>
    </xf>
    <xf borderId="3" fillId="3" fontId="1" numFmtId="0" xfId="0" applyAlignment="1" applyBorder="1" applyFill="1" applyFont="1">
      <alignment shrinkToFit="0" vertical="bottom" wrapText="0"/>
    </xf>
    <xf borderId="4" fillId="3" fontId="7" numFmtId="0" xfId="0" applyAlignment="1" applyBorder="1" applyFont="1">
      <alignment horizontal="center" shrinkToFit="0" vertical="center" wrapText="0"/>
    </xf>
    <xf borderId="4" fillId="3" fontId="8" numFmtId="165" xfId="0" applyAlignment="1" applyBorder="1" applyFont="1" applyNumberFormat="1">
      <alignment horizontal="center" shrinkToFit="0" vertical="center" wrapText="0"/>
    </xf>
    <xf borderId="4" fillId="3" fontId="8" numFmtId="0" xfId="0" applyAlignment="1" applyBorder="1" applyFont="1">
      <alignment horizontal="left" shrinkToFit="0" vertical="center" wrapText="0"/>
    </xf>
    <xf borderId="4" fillId="3" fontId="8" numFmtId="0" xfId="0" applyAlignment="1" applyBorder="1" applyFont="1">
      <alignment horizontal="left" shrinkToFit="0" vertical="center" wrapText="1"/>
    </xf>
    <xf borderId="4" fillId="3" fontId="8" numFmtId="0" xfId="0" applyAlignment="1" applyBorder="1" applyFont="1">
      <alignment horizontal="center" shrinkToFit="0" vertical="center" wrapText="0"/>
    </xf>
    <xf borderId="4" fillId="3" fontId="8" numFmtId="1" xfId="0" applyAlignment="1" applyBorder="1" applyFont="1" applyNumberFormat="1">
      <alignment horizontal="center" shrinkToFit="0" vertical="center" wrapText="0"/>
    </xf>
    <xf borderId="3" fillId="4" fontId="1" numFmtId="0" xfId="0" applyAlignment="1" applyBorder="1" applyFill="1" applyFont="1">
      <alignment shrinkToFit="0" vertical="bottom" wrapText="0"/>
    </xf>
    <xf borderId="4" fillId="4" fontId="7" numFmtId="0" xfId="0" applyAlignment="1" applyBorder="1" applyFont="1">
      <alignment horizontal="center" shrinkToFit="0" vertical="center" wrapText="0"/>
    </xf>
    <xf borderId="4" fillId="4" fontId="8" numFmtId="165" xfId="0" applyAlignment="1" applyBorder="1" applyFont="1" applyNumberFormat="1">
      <alignment horizontal="center" shrinkToFit="0" vertical="center" wrapText="0"/>
    </xf>
    <xf borderId="4" fillId="4" fontId="8" numFmtId="0" xfId="0" applyAlignment="1" applyBorder="1" applyFont="1">
      <alignment horizontal="left" shrinkToFit="0" vertical="center" wrapText="0"/>
    </xf>
    <xf borderId="4" fillId="4" fontId="8" numFmtId="0" xfId="0" applyAlignment="1" applyBorder="1" applyFont="1">
      <alignment horizontal="left" shrinkToFit="0" vertical="center" wrapText="1"/>
    </xf>
    <xf borderId="4" fillId="4" fontId="8" numFmtId="0" xfId="0" applyAlignment="1" applyBorder="1" applyFont="1">
      <alignment horizontal="center" shrinkToFit="0" vertical="center" wrapText="0"/>
    </xf>
    <xf borderId="4" fillId="4" fontId="8" numFmtId="1" xfId="0" applyAlignment="1" applyBorder="1" applyFont="1" applyNumberFormat="1">
      <alignment horizontal="center" shrinkToFit="0" vertical="center" wrapText="0"/>
    </xf>
    <xf borderId="0" fillId="0" fontId="8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0" fillId="0" fontId="11" numFmtId="0" xfId="0" applyAlignment="1" applyFont="1">
      <alignment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FF8E1"/>
          <bgColor rgb="FFFFF8E1"/>
        </patternFill>
      </fill>
      <border/>
    </dxf>
    <dxf>
      <font/>
      <fill>
        <patternFill patternType="solid">
          <fgColor rgb="FFE8F5E9"/>
          <bgColor rgb="FFE8F5E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AFF"/>
    <pageSetUpPr/>
  </sheetPr>
  <sheetViews>
    <sheetView workbookViewId="0">
      <pane xSplit="1.0" ySplit="13.0" topLeftCell="B14" activePane="bottomRight" state="frozen"/>
      <selection activeCell="B1" sqref="B1" pane="topRight"/>
      <selection activeCell="A14" sqref="A14" pane="bottomLeft"/>
      <selection activeCell="B14" sqref="B14" pane="bottomRight"/>
    </sheetView>
  </sheetViews>
  <sheetFormatPr customHeight="1" defaultColWidth="14.43" defaultRowHeight="15.0"/>
  <cols>
    <col customWidth="1" min="1" max="1" width="3.0"/>
    <col customWidth="1" min="2" max="2" width="10.0"/>
    <col customWidth="1" min="3" max="3" width="14.0"/>
    <col customWidth="1" min="4" max="4" width="24.0"/>
    <col customWidth="1" min="5" max="5" width="36.0"/>
    <col customWidth="1" min="6" max="6" width="18.0"/>
    <col customWidth="1" min="7" max="7" width="16.0"/>
    <col customWidth="1" min="8" max="8" width="10.0"/>
    <col customWidth="1" min="9" max="9" width="12.0"/>
    <col customWidth="1" min="10" max="10" width="28.0"/>
    <col customWidth="1" min="11" max="26" width="8.71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6.0" customHeight="1">
      <c r="A2" s="1"/>
      <c r="B2" s="2" t="s">
        <v>0</v>
      </c>
      <c r="K2" s="1"/>
    </row>
    <row r="3" ht="18.0" customHeight="1">
      <c r="A3" s="1"/>
      <c r="B3" s="3" t="s">
        <v>1</v>
      </c>
      <c r="K3" s="1"/>
    </row>
    <row r="4" ht="19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3.5" customHeight="1">
      <c r="A5" s="1"/>
      <c r="B5" s="4" t="s">
        <v>2</v>
      </c>
      <c r="D5" s="4" t="s">
        <v>3</v>
      </c>
      <c r="F5" s="4" t="s">
        <v>4</v>
      </c>
      <c r="H5" s="4" t="s">
        <v>5</v>
      </c>
      <c r="J5" s="1"/>
      <c r="K5" s="1"/>
    </row>
    <row r="6" ht="36.0" customHeight="1">
      <c r="A6" s="1"/>
      <c r="B6" s="5">
        <f>COUNTA(D14:D23)</f>
        <v>3</v>
      </c>
      <c r="D6" s="6">
        <f>SUM(G14:G23)</f>
        <v>165</v>
      </c>
      <c r="F6" s="7">
        <f>IFERROR(AVERAGE(I14:I23),0)</f>
        <v>8</v>
      </c>
      <c r="H6" s="5">
        <f>COUNTA(D14:D23)</f>
        <v>3</v>
      </c>
      <c r="J6" s="1"/>
      <c r="K6" s="1"/>
    </row>
    <row r="7" ht="15.75" customHeight="1">
      <c r="A7" s="1"/>
      <c r="B7" s="8" t="s">
        <v>6</v>
      </c>
      <c r="D7" s="8" t="s">
        <v>7</v>
      </c>
      <c r="F7" s="8" t="s">
        <v>8</v>
      </c>
      <c r="H7" s="8" t="s">
        <v>9</v>
      </c>
      <c r="J7" s="1"/>
      <c r="K7" s="1"/>
    </row>
    <row r="8" ht="7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8.0" customHeight="1">
      <c r="A9" s="1"/>
      <c r="B9" s="9" t="s">
        <v>10</v>
      </c>
      <c r="D9" s="1"/>
      <c r="E9" s="1"/>
      <c r="F9" s="1"/>
      <c r="G9" s="1"/>
      <c r="H9" s="1"/>
      <c r="I9" s="1"/>
      <c r="J9" s="1"/>
      <c r="K9" s="1"/>
    </row>
    <row r="10" ht="21.75" customHeight="1">
      <c r="A10" s="1"/>
      <c r="B10" s="10" t="str">
        <f>REPT("█",COUNTA(D14:D23)*4)&amp;REPT("░",(10-COUNTA(D14:D23))*4)</f>
        <v>████████████░░░░░░░░░░░░░░░░░░░░░░░░░░░░</v>
      </c>
      <c r="J10" s="1"/>
      <c r="K10" s="1"/>
    </row>
    <row r="11" ht="13.5" customHeight="1">
      <c r="A11" s="1"/>
      <c r="B11" s="9" t="str">
        <f>TEXT(COUNTA(D14:D23)/10*100,"0")&amp;"% Complete"</f>
        <v>30% Complete</v>
      </c>
      <c r="D11" s="1"/>
      <c r="E11" s="1"/>
      <c r="F11" s="1"/>
      <c r="G11" s="1"/>
      <c r="H11" s="1"/>
      <c r="I11" s="1"/>
      <c r="J11" s="1"/>
      <c r="K11" s="1"/>
    </row>
    <row r="12" ht="24.0" customHeight="1">
      <c r="A12" s="1"/>
      <c r="B12" s="11"/>
      <c r="C12" s="11"/>
      <c r="D12" s="11"/>
      <c r="E12" s="11"/>
      <c r="F12" s="11"/>
      <c r="G12" s="11"/>
      <c r="H12" s="11"/>
      <c r="I12" s="11"/>
      <c r="J12" s="11"/>
      <c r="K12" s="1"/>
    </row>
    <row r="13" ht="31.5" customHeight="1">
      <c r="A13" s="12"/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  <c r="H13" s="12" t="s">
        <v>17</v>
      </c>
      <c r="I13" s="12" t="s">
        <v>18</v>
      </c>
      <c r="J13" s="12" t="s">
        <v>19</v>
      </c>
      <c r="K13" s="1"/>
    </row>
    <row r="14" ht="36.0" customHeight="1">
      <c r="A14" s="13"/>
      <c r="B14" s="14" t="s">
        <v>20</v>
      </c>
      <c r="C14" s="15">
        <v>45719.0</v>
      </c>
      <c r="D14" s="16" t="s">
        <v>21</v>
      </c>
      <c r="E14" s="17" t="s">
        <v>22</v>
      </c>
      <c r="F14" s="18" t="s">
        <v>23</v>
      </c>
      <c r="G14" s="19">
        <v>45.0</v>
      </c>
      <c r="H14" s="18" t="b">
        <f t="shared" ref="H14:H15" si="1">TRUE()</f>
        <v>1</v>
      </c>
      <c r="I14" s="18">
        <v>8.0</v>
      </c>
      <c r="J14" s="17" t="s">
        <v>24</v>
      </c>
      <c r="K14" s="1"/>
    </row>
    <row r="15" ht="36.0" customHeight="1">
      <c r="A15" s="20"/>
      <c r="B15" s="21" t="s">
        <v>25</v>
      </c>
      <c r="C15" s="22">
        <v>45726.0</v>
      </c>
      <c r="D15" s="23" t="s">
        <v>26</v>
      </c>
      <c r="E15" s="24" t="s">
        <v>27</v>
      </c>
      <c r="F15" s="25" t="s">
        <v>28</v>
      </c>
      <c r="G15" s="26">
        <v>30.0</v>
      </c>
      <c r="H15" s="25" t="b">
        <f t="shared" si="1"/>
        <v>1</v>
      </c>
      <c r="I15" s="25">
        <v>7.0</v>
      </c>
      <c r="J15" s="24" t="s">
        <v>29</v>
      </c>
      <c r="K15" s="1"/>
    </row>
    <row r="16" ht="36.0" customHeight="1">
      <c r="A16" s="13"/>
      <c r="B16" s="14" t="s">
        <v>30</v>
      </c>
      <c r="C16" s="15">
        <v>45733.0</v>
      </c>
      <c r="D16" s="16" t="s">
        <v>31</v>
      </c>
      <c r="E16" s="17" t="s">
        <v>32</v>
      </c>
      <c r="F16" s="18" t="s">
        <v>33</v>
      </c>
      <c r="G16" s="19">
        <v>90.0</v>
      </c>
      <c r="H16" s="18" t="b">
        <f t="shared" ref="H16:H23" si="2">FALSE()</f>
        <v>0</v>
      </c>
      <c r="I16" s="18">
        <v>9.0</v>
      </c>
      <c r="J16" s="17" t="s">
        <v>34</v>
      </c>
      <c r="K16" s="1"/>
    </row>
    <row r="17" ht="36.0" customHeight="1">
      <c r="A17" s="20"/>
      <c r="B17" s="21" t="s">
        <v>35</v>
      </c>
      <c r="C17" s="22"/>
      <c r="D17" s="23"/>
      <c r="E17" s="24"/>
      <c r="F17" s="25"/>
      <c r="G17" s="26"/>
      <c r="H17" s="25" t="b">
        <f t="shared" si="2"/>
        <v>0</v>
      </c>
      <c r="I17" s="25"/>
      <c r="J17" s="24"/>
      <c r="K17" s="1"/>
    </row>
    <row r="18" ht="36.0" customHeight="1">
      <c r="A18" s="13"/>
      <c r="B18" s="14" t="s">
        <v>36</v>
      </c>
      <c r="C18" s="15"/>
      <c r="D18" s="16"/>
      <c r="E18" s="17"/>
      <c r="F18" s="18"/>
      <c r="G18" s="19"/>
      <c r="H18" s="18" t="b">
        <f t="shared" si="2"/>
        <v>0</v>
      </c>
      <c r="I18" s="18"/>
      <c r="J18" s="17"/>
      <c r="K18" s="1"/>
    </row>
    <row r="19" ht="36.0" customHeight="1">
      <c r="A19" s="20"/>
      <c r="B19" s="21" t="s">
        <v>37</v>
      </c>
      <c r="C19" s="22"/>
      <c r="D19" s="23"/>
      <c r="E19" s="24"/>
      <c r="F19" s="25"/>
      <c r="G19" s="26"/>
      <c r="H19" s="25" t="b">
        <f t="shared" si="2"/>
        <v>0</v>
      </c>
      <c r="I19" s="25"/>
      <c r="J19" s="24"/>
      <c r="K19" s="1"/>
    </row>
    <row r="20" ht="36.0" customHeight="1">
      <c r="A20" s="13"/>
      <c r="B20" s="14" t="s">
        <v>38</v>
      </c>
      <c r="C20" s="15"/>
      <c r="D20" s="16"/>
      <c r="E20" s="17"/>
      <c r="F20" s="18"/>
      <c r="G20" s="19"/>
      <c r="H20" s="18" t="b">
        <f t="shared" si="2"/>
        <v>0</v>
      </c>
      <c r="I20" s="18"/>
      <c r="J20" s="17"/>
      <c r="K20" s="1"/>
    </row>
    <row r="21" ht="36.0" customHeight="1">
      <c r="A21" s="20"/>
      <c r="B21" s="21" t="s">
        <v>39</v>
      </c>
      <c r="C21" s="22"/>
      <c r="D21" s="23"/>
      <c r="E21" s="24"/>
      <c r="F21" s="25"/>
      <c r="G21" s="26"/>
      <c r="H21" s="25" t="b">
        <f t="shared" si="2"/>
        <v>0</v>
      </c>
      <c r="I21" s="25"/>
      <c r="J21" s="24"/>
      <c r="K21" s="1"/>
    </row>
    <row r="22" ht="36.0" customHeight="1">
      <c r="A22" s="13"/>
      <c r="B22" s="14" t="s">
        <v>40</v>
      </c>
      <c r="C22" s="15"/>
      <c r="D22" s="16"/>
      <c r="E22" s="17"/>
      <c r="F22" s="18"/>
      <c r="G22" s="19"/>
      <c r="H22" s="18" t="b">
        <f t="shared" si="2"/>
        <v>0</v>
      </c>
      <c r="I22" s="18"/>
      <c r="J22" s="17"/>
      <c r="K22" s="1"/>
    </row>
    <row r="23" ht="36.0" customHeight="1">
      <c r="A23" s="20"/>
      <c r="B23" s="21" t="s">
        <v>41</v>
      </c>
      <c r="C23" s="22"/>
      <c r="D23" s="23"/>
      <c r="E23" s="24"/>
      <c r="F23" s="25"/>
      <c r="G23" s="26"/>
      <c r="H23" s="25" t="b">
        <f t="shared" si="2"/>
        <v>0</v>
      </c>
      <c r="I23" s="25"/>
      <c r="J23" s="24"/>
      <c r="K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17">
    <mergeCell ref="B2:J2"/>
    <mergeCell ref="B3:J3"/>
    <mergeCell ref="B5:C5"/>
    <mergeCell ref="D5:E5"/>
    <mergeCell ref="F5:G5"/>
    <mergeCell ref="H5:I5"/>
    <mergeCell ref="B6:C6"/>
    <mergeCell ref="H6:I6"/>
    <mergeCell ref="B9:C9"/>
    <mergeCell ref="B11:C11"/>
    <mergeCell ref="D6:E6"/>
    <mergeCell ref="F6:G6"/>
    <mergeCell ref="B7:C7"/>
    <mergeCell ref="D7:E7"/>
    <mergeCell ref="F7:G7"/>
    <mergeCell ref="H7:I7"/>
    <mergeCell ref="B10:I10"/>
  </mergeCells>
  <conditionalFormatting sqref="I14:I23">
    <cfRule type="cellIs" dxfId="0" priority="1" operator="greaterThanOrEqual">
      <formula>8</formula>
    </cfRule>
  </conditionalFormatting>
  <conditionalFormatting sqref="B14:J14">
    <cfRule type="expression" dxfId="1" priority="2">
      <formula>$H14=1</formula>
    </cfRule>
  </conditionalFormatting>
  <conditionalFormatting sqref="B15:J15">
    <cfRule type="expression" dxfId="1" priority="3">
      <formula>$H15=1</formula>
    </cfRule>
  </conditionalFormatting>
  <conditionalFormatting sqref="B16:J16">
    <cfRule type="expression" dxfId="1" priority="4">
      <formula>$H16=1</formula>
    </cfRule>
  </conditionalFormatting>
  <conditionalFormatting sqref="B17:J17">
    <cfRule type="expression" dxfId="1" priority="5">
      <formula>$H17=1</formula>
    </cfRule>
  </conditionalFormatting>
  <conditionalFormatting sqref="B18:J18">
    <cfRule type="expression" dxfId="1" priority="6">
      <formula>$H18=1</formula>
    </cfRule>
  </conditionalFormatting>
  <conditionalFormatting sqref="B19:J19">
    <cfRule type="expression" dxfId="1" priority="7">
      <formula>$H19=1</formula>
    </cfRule>
  </conditionalFormatting>
  <conditionalFormatting sqref="B20:J20">
    <cfRule type="expression" dxfId="1" priority="8">
      <formula>$H20=1</formula>
    </cfRule>
  </conditionalFormatting>
  <conditionalFormatting sqref="B21:J21">
    <cfRule type="expression" dxfId="1" priority="9">
      <formula>$H21=1</formula>
    </cfRule>
  </conditionalFormatting>
  <conditionalFormatting sqref="B22:J22">
    <cfRule type="expression" dxfId="1" priority="10">
      <formula>$H22=1</formula>
    </cfRule>
  </conditionalFormatting>
  <conditionalFormatting sqref="B23:J23">
    <cfRule type="expression" dxfId="1" priority="11">
      <formula>$H23=1</formula>
    </cfRule>
  </conditionalFormatting>
  <dataValidations>
    <dataValidation type="list" allowBlank="1" sqref="I14:I23">
      <formula1>"1,2,3,4,5,6,7,8,9,10"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C759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90.0"/>
    <col customWidth="1" min="3" max="26" width="8.71"/>
  </cols>
  <sheetData>
    <row r="1" ht="15.0" customHeight="1">
      <c r="A1" s="1"/>
      <c r="B1" s="27"/>
    </row>
    <row r="2" ht="19.5" customHeight="1">
      <c r="A2" s="1"/>
      <c r="B2" s="28" t="s">
        <v>42</v>
      </c>
    </row>
    <row r="3" ht="15.0" customHeight="1">
      <c r="A3" s="1"/>
      <c r="B3" s="27"/>
    </row>
    <row r="4" ht="15.0" customHeight="1">
      <c r="A4" s="1"/>
      <c r="B4" s="27" t="s">
        <v>43</v>
      </c>
    </row>
    <row r="5" ht="15.0" customHeight="1">
      <c r="A5" s="1"/>
      <c r="B5" s="27"/>
    </row>
    <row r="6" ht="15.0" customHeight="1">
      <c r="A6" s="1"/>
      <c r="B6" s="29" t="s">
        <v>44</v>
      </c>
    </row>
    <row r="7" ht="15.0" customHeight="1">
      <c r="A7" s="1"/>
      <c r="B7" s="27" t="s">
        <v>45</v>
      </c>
    </row>
    <row r="8" ht="15.0" customHeight="1">
      <c r="A8" s="1"/>
      <c r="B8" s="27" t="s">
        <v>46</v>
      </c>
    </row>
    <row r="9" ht="15.0" customHeight="1">
      <c r="A9" s="1"/>
      <c r="B9" s="27"/>
    </row>
    <row r="10" ht="15.0" customHeight="1">
      <c r="A10" s="1"/>
      <c r="B10" s="29" t="s">
        <v>47</v>
      </c>
    </row>
    <row r="11" ht="15.0" customHeight="1">
      <c r="A11" s="1"/>
      <c r="B11" s="27" t="s">
        <v>48</v>
      </c>
    </row>
    <row r="12" ht="15.0" customHeight="1">
      <c r="A12" s="1"/>
      <c r="B12" s="27" t="s">
        <v>49</v>
      </c>
    </row>
    <row r="13" ht="15.0" customHeight="1">
      <c r="A13" s="1"/>
      <c r="B13" s="27" t="s">
        <v>50</v>
      </c>
    </row>
    <row r="14" ht="15.0" customHeight="1">
      <c r="A14" s="1"/>
      <c r="B14" s="27"/>
    </row>
    <row r="15" ht="15.0" customHeight="1">
      <c r="A15" s="1"/>
      <c r="B15" s="29" t="s">
        <v>51</v>
      </c>
    </row>
    <row r="16" ht="15.0" customHeight="1">
      <c r="A16" s="1"/>
      <c r="B16" s="27" t="s">
        <v>52</v>
      </c>
    </row>
    <row r="17" ht="15.0" customHeight="1">
      <c r="A17" s="1"/>
      <c r="B17" s="27" t="s">
        <v>53</v>
      </c>
    </row>
    <row r="18" ht="15.0" customHeight="1">
      <c r="A18" s="1"/>
      <c r="B18" s="27" t="s">
        <v>54</v>
      </c>
    </row>
    <row r="19" ht="15.0" customHeight="1">
      <c r="A19" s="1"/>
      <c r="B19" s="27"/>
    </row>
    <row r="20" ht="15.0" customHeight="1">
      <c r="A20" s="1"/>
      <c r="B20" s="29" t="s">
        <v>55</v>
      </c>
    </row>
    <row r="21" ht="15.0" customHeight="1">
      <c r="A21" s="1"/>
      <c r="B21" s="27" t="s">
        <v>56</v>
      </c>
    </row>
    <row r="22" ht="15.0" customHeight="1">
      <c r="A22" s="1"/>
      <c r="B22" s="27"/>
    </row>
    <row r="23" ht="15.0" customHeight="1">
      <c r="A23" s="1"/>
      <c r="B23" s="27" t="s">
        <v>57</v>
      </c>
    </row>
    <row r="24" ht="15.0" customHeight="1">
      <c r="A24" s="1"/>
      <c r="B24" s="27" t="s">
        <v>58</v>
      </c>
    </row>
    <row r="25" ht="15.0" customHeight="1">
      <c r="A25" s="1"/>
      <c r="B25" s="27"/>
    </row>
    <row r="26" ht="15.0" customHeight="1">
      <c r="A26" s="1"/>
      <c r="B26" s="27" t="s">
        <v>59</v>
      </c>
    </row>
    <row r="27" ht="15.0" customHeight="1">
      <c r="A27" s="1"/>
      <c r="B27" s="27" t="s">
        <v>60</v>
      </c>
    </row>
    <row r="28" ht="15.0" customHeight="1">
      <c r="A28" s="1"/>
      <c r="B28" s="27"/>
    </row>
    <row r="29" ht="15.0" customHeight="1">
      <c r="A29" s="1"/>
      <c r="B29" s="29" t="s">
        <v>61</v>
      </c>
    </row>
    <row r="30" ht="15.0" customHeight="1">
      <c r="A30" s="1"/>
      <c r="B30" s="27" t="s">
        <v>62</v>
      </c>
    </row>
    <row r="31" ht="15.0" customHeight="1">
      <c r="A31" s="1"/>
      <c r="B31" s="27"/>
    </row>
    <row r="32" ht="15.0" customHeight="1">
      <c r="A32" s="1"/>
      <c r="B32" s="30" t="s">
        <v>63</v>
      </c>
    </row>
    <row r="33" ht="15.0" customHeight="1">
      <c r="A33" s="1"/>
      <c r="B33" s="30" t="s">
        <v>64</v>
      </c>
    </row>
    <row r="34" ht="15.0" customHeight="1">
      <c r="A34" s="1"/>
      <c r="B34" s="30" t="s">
        <v>65</v>
      </c>
    </row>
    <row r="35" ht="15.0" customHeight="1">
      <c r="A35" s="1"/>
      <c r="B35" s="30" t="s">
        <v>66</v>
      </c>
    </row>
    <row r="36" ht="15.0" customHeight="1">
      <c r="A36" s="1"/>
      <c r="B36" s="27"/>
    </row>
    <row r="37" ht="23.25" customHeight="1">
      <c r="A37" s="1"/>
      <c r="B37" s="30" t="s">
        <v>67</v>
      </c>
    </row>
    <row r="38" ht="15.0" customHeight="1">
      <c r="A38" s="1"/>
      <c r="B38" s="30" t="s">
        <v>68</v>
      </c>
    </row>
    <row r="39" ht="15.0" customHeight="1">
      <c r="A39" s="1"/>
      <c r="B39" s="27"/>
    </row>
    <row r="40" ht="15.0" customHeight="1">
      <c r="A40" s="1"/>
      <c r="B40" s="29" t="s">
        <v>69</v>
      </c>
    </row>
    <row r="41" ht="15.0" customHeight="1">
      <c r="A41" s="1"/>
      <c r="B41" s="27" t="s">
        <v>70</v>
      </c>
    </row>
    <row r="42" ht="15.0" customHeight="1">
      <c r="A42" s="1"/>
      <c r="B42" s="27"/>
    </row>
    <row r="43" ht="15.0" customHeight="1">
      <c r="A43" s="1"/>
      <c r="B43" s="27" t="s">
        <v>71</v>
      </c>
    </row>
    <row r="44" ht="15.0" customHeight="1">
      <c r="A44" s="1"/>
      <c r="B44" s="27"/>
    </row>
    <row r="45" ht="15.0" customHeight="1">
      <c r="A45" s="1"/>
      <c r="B45" s="29" t="s">
        <v>72</v>
      </c>
    </row>
    <row r="46" ht="15.0" customHeight="1">
      <c r="A46" s="1"/>
      <c r="B46" s="27"/>
    </row>
    <row r="47" ht="15.0" customHeight="1">
      <c r="A47" s="1"/>
      <c r="B47" s="27" t="s">
        <v>73</v>
      </c>
    </row>
    <row r="48" ht="15.0" customHeight="1">
      <c r="A48" s="1"/>
      <c r="B48" s="27" t="s">
        <v>74</v>
      </c>
    </row>
    <row r="49" ht="15.0" customHeight="1">
      <c r="A49" s="1"/>
      <c r="B49" s="27" t="s">
        <v>75</v>
      </c>
    </row>
    <row r="50" ht="15.0" customHeight="1">
      <c r="A50" s="1"/>
      <c r="B50" s="27" t="s">
        <v>76</v>
      </c>
    </row>
    <row r="51" ht="15.0" customHeight="1">
      <c r="A51" s="1"/>
      <c r="B51" s="27" t="s">
        <v>77</v>
      </c>
    </row>
    <row r="52" ht="15.0" customHeight="1">
      <c r="A52" s="1"/>
      <c r="B52" s="27" t="s">
        <v>78</v>
      </c>
    </row>
    <row r="53" ht="15.0" customHeight="1">
      <c r="A53" s="1"/>
      <c r="B53" s="27"/>
    </row>
    <row r="54" ht="15.0" customHeight="1">
      <c r="A54" s="1"/>
      <c r="B54" s="29" t="s">
        <v>79</v>
      </c>
    </row>
    <row r="55" ht="15.0" customHeight="1">
      <c r="A55" s="1"/>
      <c r="B55" s="27"/>
    </row>
    <row r="56" ht="15.0" customHeight="1">
      <c r="A56" s="1"/>
      <c r="B56" s="27" t="s">
        <v>80</v>
      </c>
    </row>
    <row r="57" ht="15.0" customHeight="1">
      <c r="A57" s="1"/>
      <c r="B57" s="27" t="s">
        <v>81</v>
      </c>
    </row>
    <row r="58" ht="15.75" customHeight="1">
      <c r="A58" s="1"/>
      <c r="B58" s="1"/>
    </row>
    <row r="59" ht="15.75" customHeight="1">
      <c r="A59" s="1"/>
      <c r="B59" s="1"/>
    </row>
    <row r="60" ht="15.75" customHeight="1">
      <c r="A60" s="1"/>
      <c r="B60" s="1"/>
    </row>
    <row r="61" ht="15.75" customHeight="1">
      <c r="A61" s="1"/>
      <c r="B61" s="1"/>
    </row>
    <row r="62" ht="15.75" customHeight="1">
      <c r="A62" s="1"/>
      <c r="B62" s="1"/>
    </row>
    <row r="63" ht="15.75" customHeight="1">
      <c r="A63" s="1"/>
      <c r="B63" s="1"/>
    </row>
    <row r="64" ht="15.75" customHeight="1">
      <c r="A64" s="1"/>
      <c r="B64" s="1"/>
    </row>
    <row r="65" ht="15.75" customHeight="1">
      <c r="A65" s="1"/>
      <c r="B65" s="1"/>
    </row>
    <row r="66" ht="15.75" customHeight="1">
      <c r="A66" s="1"/>
      <c r="B66" s="1"/>
    </row>
    <row r="67" ht="15.75" customHeight="1">
      <c r="A67" s="1"/>
      <c r="B67" s="1"/>
    </row>
    <row r="68" ht="15.75" customHeight="1">
      <c r="A68" s="1"/>
      <c r="B68" s="1"/>
    </row>
    <row r="69" ht="15.75" customHeight="1">
      <c r="A69" s="1"/>
      <c r="B69" s="1"/>
    </row>
    <row r="70" ht="15.75" customHeight="1">
      <c r="A70" s="1"/>
      <c r="B70" s="1"/>
    </row>
    <row r="71" ht="15.75" customHeight="1">
      <c r="A71" s="1"/>
      <c r="B71" s="1"/>
    </row>
    <row r="72" ht="15.75" customHeight="1">
      <c r="A72" s="1"/>
      <c r="B72" s="1"/>
    </row>
    <row r="73" ht="15.75" customHeight="1">
      <c r="A73" s="1"/>
      <c r="B73" s="1"/>
    </row>
    <row r="74" ht="15.75" customHeight="1">
      <c r="A74" s="1"/>
      <c r="B74" s="1"/>
    </row>
    <row r="75" ht="15.75" customHeight="1">
      <c r="A75" s="1"/>
      <c r="B75" s="1"/>
    </row>
    <row r="76" ht="15.75" customHeight="1">
      <c r="A76" s="1"/>
      <c r="B76" s="1"/>
    </row>
    <row r="77" ht="15.75" customHeight="1">
      <c r="A77" s="1"/>
      <c r="B77" s="1"/>
    </row>
    <row r="78" ht="15.75" customHeight="1">
      <c r="A78" s="1"/>
      <c r="B78" s="1"/>
    </row>
    <row r="79" ht="15.75" customHeight="1">
      <c r="A79" s="1"/>
      <c r="B79" s="1"/>
    </row>
    <row r="80" ht="15.75" customHeight="1">
      <c r="A80" s="1"/>
      <c r="B80" s="1"/>
    </row>
    <row r="81" ht="15.75" customHeight="1">
      <c r="A81" s="1"/>
      <c r="B81" s="1"/>
    </row>
    <row r="82" ht="15.75" customHeight="1">
      <c r="A82" s="1"/>
      <c r="B82" s="1"/>
    </row>
    <row r="83" ht="15.75" customHeight="1">
      <c r="A83" s="1"/>
      <c r="B83" s="1"/>
    </row>
    <row r="84" ht="15.75" customHeight="1">
      <c r="A84" s="1"/>
      <c r="B84" s="1"/>
    </row>
    <row r="85" ht="15.75" customHeight="1">
      <c r="A85" s="1"/>
      <c r="B85" s="1"/>
    </row>
    <row r="86" ht="15.75" customHeight="1">
      <c r="A86" s="1"/>
      <c r="B86" s="1"/>
    </row>
    <row r="87" ht="15.75" customHeight="1">
      <c r="A87" s="1"/>
      <c r="B87" s="1"/>
    </row>
    <row r="88" ht="15.75" customHeight="1">
      <c r="A88" s="1"/>
      <c r="B88" s="1"/>
    </row>
    <row r="89" ht="15.75" customHeight="1">
      <c r="A89" s="1"/>
      <c r="B89" s="1"/>
    </row>
    <row r="90" ht="15.75" customHeight="1">
      <c r="A90" s="1"/>
      <c r="B90" s="1"/>
    </row>
    <row r="91" ht="15.75" customHeight="1">
      <c r="A91" s="1"/>
      <c r="B91" s="1"/>
    </row>
    <row r="92" ht="15.75" customHeight="1">
      <c r="A92" s="1"/>
      <c r="B92" s="1"/>
    </row>
    <row r="93" ht="15.75" customHeight="1">
      <c r="A93" s="1"/>
      <c r="B93" s="1"/>
    </row>
    <row r="94" ht="15.75" customHeight="1">
      <c r="A94" s="1"/>
      <c r="B94" s="1"/>
    </row>
    <row r="95" ht="15.75" customHeight="1">
      <c r="A95" s="1"/>
      <c r="B95" s="1"/>
    </row>
    <row r="96" ht="15.75" customHeight="1">
      <c r="A96" s="1"/>
      <c r="B96" s="1"/>
    </row>
    <row r="97" ht="15.75" customHeight="1">
      <c r="A97" s="1"/>
      <c r="B97" s="1"/>
    </row>
    <row r="98" ht="15.75" customHeight="1">
      <c r="A98" s="1"/>
      <c r="B98" s="1"/>
    </row>
    <row r="99" ht="15.75" customHeight="1">
      <c r="A99" s="1"/>
      <c r="B99" s="1"/>
    </row>
    <row r="100" ht="15.75" customHeight="1">
      <c r="A100" s="1"/>
      <c r="B100" s="1"/>
    </row>
    <row r="101" ht="15.75" customHeight="1">
      <c r="A101" s="1"/>
      <c r="B101" s="1"/>
    </row>
    <row r="102" ht="15.75" customHeight="1">
      <c r="A102" s="1"/>
      <c r="B102" s="1"/>
    </row>
    <row r="103" ht="15.75" customHeight="1">
      <c r="A103" s="1"/>
      <c r="B103" s="1"/>
    </row>
    <row r="104" ht="15.75" customHeight="1">
      <c r="A104" s="1"/>
      <c r="B104" s="1"/>
    </row>
    <row r="105" ht="15.75" customHeight="1">
      <c r="A105" s="1"/>
      <c r="B105" s="1"/>
    </row>
    <row r="106" ht="15.75" customHeight="1">
      <c r="A106" s="1"/>
      <c r="B106" s="1"/>
    </row>
    <row r="107" ht="15.75" customHeight="1">
      <c r="A107" s="1"/>
      <c r="B107" s="1"/>
    </row>
    <row r="108" ht="15.75" customHeight="1">
      <c r="A108" s="1"/>
      <c r="B108" s="1"/>
    </row>
    <row r="109" ht="15.75" customHeight="1">
      <c r="A109" s="1"/>
      <c r="B109" s="1"/>
    </row>
    <row r="110" ht="15.75" customHeight="1">
      <c r="A110" s="1"/>
      <c r="B110" s="1"/>
    </row>
    <row r="111" ht="15.75" customHeight="1">
      <c r="A111" s="1"/>
      <c r="B111" s="1"/>
    </row>
    <row r="112" ht="15.75" customHeight="1">
      <c r="A112" s="1"/>
      <c r="B112" s="1"/>
    </row>
    <row r="113" ht="15.75" customHeight="1">
      <c r="A113" s="1"/>
      <c r="B113" s="1"/>
    </row>
    <row r="114" ht="15.75" customHeight="1">
      <c r="A114" s="1"/>
      <c r="B114" s="1"/>
    </row>
    <row r="115" ht="15.75" customHeight="1">
      <c r="A115" s="1"/>
      <c r="B115" s="1"/>
    </row>
    <row r="116" ht="15.75" customHeight="1">
      <c r="A116" s="1"/>
      <c r="B116" s="1"/>
    </row>
    <row r="117" ht="15.75" customHeight="1">
      <c r="A117" s="1"/>
      <c r="B117" s="1"/>
    </row>
    <row r="118" ht="15.75" customHeight="1">
      <c r="A118" s="1"/>
      <c r="B118" s="1"/>
    </row>
    <row r="119" ht="15.75" customHeight="1">
      <c r="A119" s="1"/>
      <c r="B119" s="1"/>
    </row>
    <row r="120" ht="15.75" customHeight="1">
      <c r="A120" s="1"/>
      <c r="B120" s="1"/>
    </row>
    <row r="121" ht="15.75" customHeight="1">
      <c r="A121" s="1"/>
      <c r="B121" s="1"/>
    </row>
    <row r="122" ht="15.75" customHeight="1">
      <c r="A122" s="1"/>
      <c r="B122" s="1"/>
    </row>
    <row r="123" ht="15.75" customHeight="1">
      <c r="A123" s="1"/>
      <c r="B123" s="1"/>
    </row>
    <row r="124" ht="15.75" customHeight="1">
      <c r="A124" s="1"/>
      <c r="B124" s="1"/>
    </row>
    <row r="125" ht="15.75" customHeight="1">
      <c r="A125" s="1"/>
      <c r="B125" s="1"/>
    </row>
    <row r="126" ht="15.75" customHeight="1">
      <c r="A126" s="1"/>
      <c r="B126" s="1"/>
    </row>
    <row r="127" ht="15.75" customHeight="1">
      <c r="A127" s="1"/>
      <c r="B127" s="1"/>
    </row>
    <row r="128" ht="15.75" customHeight="1">
      <c r="A128" s="1"/>
      <c r="B128" s="1"/>
    </row>
    <row r="129" ht="15.75" customHeight="1">
      <c r="A129" s="1"/>
      <c r="B129" s="1"/>
    </row>
    <row r="130" ht="15.75" customHeight="1">
      <c r="A130" s="1"/>
      <c r="B130" s="1"/>
    </row>
    <row r="131" ht="15.75" customHeight="1">
      <c r="A131" s="1"/>
      <c r="B131" s="1"/>
    </row>
    <row r="132" ht="15.75" customHeight="1">
      <c r="A132" s="1"/>
      <c r="B132" s="1"/>
    </row>
    <row r="133" ht="15.75" customHeight="1">
      <c r="A133" s="1"/>
      <c r="B133" s="1"/>
    </row>
    <row r="134" ht="15.75" customHeight="1">
      <c r="A134" s="1"/>
      <c r="B134" s="1"/>
    </row>
    <row r="135" ht="15.75" customHeight="1">
      <c r="A135" s="1"/>
      <c r="B135" s="1"/>
    </row>
    <row r="136" ht="15.75" customHeight="1">
      <c r="A136" s="1"/>
      <c r="B136" s="1"/>
    </row>
    <row r="137" ht="15.75" customHeight="1">
      <c r="A137" s="1"/>
      <c r="B137" s="1"/>
    </row>
    <row r="138" ht="15.75" customHeight="1">
      <c r="A138" s="1"/>
      <c r="B138" s="1"/>
    </row>
    <row r="139" ht="15.75" customHeight="1">
      <c r="A139" s="1"/>
      <c r="B139" s="1"/>
    </row>
    <row r="140" ht="15.75" customHeight="1">
      <c r="A140" s="1"/>
      <c r="B140" s="1"/>
    </row>
    <row r="141" ht="15.75" customHeight="1">
      <c r="A141" s="1"/>
      <c r="B141" s="1"/>
    </row>
    <row r="142" ht="15.75" customHeight="1">
      <c r="A142" s="1"/>
      <c r="B142" s="1"/>
    </row>
    <row r="143" ht="15.75" customHeight="1">
      <c r="A143" s="1"/>
      <c r="B143" s="1"/>
    </row>
    <row r="144" ht="15.75" customHeight="1">
      <c r="A144" s="1"/>
      <c r="B144" s="1"/>
    </row>
    <row r="145" ht="15.75" customHeight="1">
      <c r="A145" s="1"/>
      <c r="B145" s="1"/>
    </row>
    <row r="146" ht="15.75" customHeight="1">
      <c r="A146" s="1"/>
      <c r="B146" s="1"/>
    </row>
    <row r="147" ht="15.75" customHeight="1">
      <c r="A147" s="1"/>
      <c r="B147" s="1"/>
    </row>
    <row r="148" ht="15.75" customHeight="1">
      <c r="A148" s="1"/>
      <c r="B148" s="1"/>
    </row>
    <row r="149" ht="15.75" customHeight="1">
      <c r="A149" s="1"/>
      <c r="B149" s="1"/>
    </row>
    <row r="150" ht="15.75" customHeight="1">
      <c r="A150" s="1"/>
      <c r="B150" s="1"/>
    </row>
    <row r="151" ht="15.75" customHeight="1">
      <c r="A151" s="1"/>
      <c r="B151" s="1"/>
    </row>
    <row r="152" ht="15.75" customHeight="1">
      <c r="A152" s="1"/>
      <c r="B152" s="1"/>
    </row>
    <row r="153" ht="15.75" customHeight="1">
      <c r="A153" s="1"/>
      <c r="B153" s="1"/>
    </row>
    <row r="154" ht="15.75" customHeight="1">
      <c r="A154" s="1"/>
      <c r="B154" s="1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>
      <c r="A221" s="1"/>
      <c r="B221" s="1"/>
    </row>
    <row r="222" ht="15.75" customHeight="1">
      <c r="A222" s="1"/>
      <c r="B222" s="1"/>
    </row>
    <row r="223" ht="15.75" customHeight="1">
      <c r="A223" s="1"/>
      <c r="B223" s="1"/>
    </row>
    <row r="224" ht="15.75" customHeight="1">
      <c r="A224" s="1"/>
      <c r="B224" s="1"/>
    </row>
    <row r="225" ht="15.75" customHeight="1">
      <c r="A225" s="1"/>
      <c r="B225" s="1"/>
    </row>
    <row r="226" ht="15.75" customHeight="1">
      <c r="A226" s="1"/>
      <c r="B226" s="1"/>
    </row>
    <row r="227" ht="15.75" customHeight="1">
      <c r="A227" s="1"/>
      <c r="B227" s="1"/>
    </row>
    <row r="228" ht="15.75" customHeight="1">
      <c r="A228" s="1"/>
      <c r="B228" s="1"/>
    </row>
    <row r="229" ht="15.75" customHeight="1">
      <c r="A229" s="1"/>
      <c r="B229" s="1"/>
    </row>
    <row r="230" ht="15.75" customHeight="1">
      <c r="A230" s="1"/>
      <c r="B230" s="1"/>
    </row>
    <row r="231" ht="15.75" customHeight="1">
      <c r="A231" s="1"/>
      <c r="B231" s="1"/>
    </row>
    <row r="232" ht="15.75" customHeight="1">
      <c r="A232" s="1"/>
      <c r="B232" s="1"/>
    </row>
    <row r="233" ht="15.75" customHeight="1">
      <c r="A233" s="1"/>
      <c r="B233" s="1"/>
    </row>
    <row r="234" ht="15.75" customHeight="1">
      <c r="A234" s="1"/>
      <c r="B234" s="1"/>
    </row>
    <row r="235" ht="15.75" customHeight="1">
      <c r="A235" s="1"/>
      <c r="B235" s="1"/>
    </row>
    <row r="236" ht="15.75" customHeight="1">
      <c r="A236" s="1"/>
      <c r="B236" s="1"/>
    </row>
    <row r="237" ht="15.75" customHeight="1">
      <c r="A237" s="1"/>
      <c r="B237" s="1"/>
    </row>
    <row r="238" ht="15.75" customHeight="1">
      <c r="A238" s="1"/>
      <c r="B238" s="1"/>
    </row>
    <row r="239" ht="15.75" customHeight="1">
      <c r="A239" s="1"/>
      <c r="B239" s="1"/>
    </row>
    <row r="240" ht="15.75" customHeight="1">
      <c r="A240" s="1"/>
      <c r="B240" s="1"/>
    </row>
    <row r="241" ht="15.75" customHeight="1">
      <c r="A241" s="1"/>
      <c r="B241" s="1"/>
    </row>
    <row r="242" ht="15.75" customHeight="1">
      <c r="A242" s="1"/>
      <c r="B242" s="1"/>
    </row>
    <row r="243" ht="15.75" customHeight="1">
      <c r="A243" s="1"/>
      <c r="B243" s="1"/>
    </row>
    <row r="244" ht="15.75" customHeight="1">
      <c r="A244" s="1"/>
      <c r="B244" s="1"/>
    </row>
    <row r="245" ht="15.75" customHeight="1">
      <c r="A245" s="1"/>
      <c r="B245" s="1"/>
    </row>
    <row r="246" ht="15.75" customHeight="1">
      <c r="A246" s="1"/>
      <c r="B246" s="1"/>
    </row>
    <row r="247" ht="15.75" customHeight="1">
      <c r="A247" s="1"/>
      <c r="B247" s="1"/>
    </row>
    <row r="248" ht="15.75" customHeight="1">
      <c r="A248" s="1"/>
      <c r="B248" s="1"/>
    </row>
    <row r="249" ht="15.75" customHeight="1">
      <c r="A249" s="1"/>
      <c r="B249" s="1"/>
    </row>
    <row r="250" ht="15.75" customHeight="1">
      <c r="A250" s="1"/>
      <c r="B250" s="1"/>
    </row>
    <row r="251" ht="15.75" customHeight="1">
      <c r="A251" s="1"/>
      <c r="B251" s="1"/>
    </row>
    <row r="252" ht="15.75" customHeight="1">
      <c r="A252" s="1"/>
      <c r="B252" s="1"/>
    </row>
    <row r="253" ht="15.75" customHeight="1">
      <c r="A253" s="1"/>
      <c r="B253" s="1"/>
    </row>
    <row r="254" ht="15.75" customHeight="1">
      <c r="A254" s="1"/>
      <c r="B254" s="1"/>
    </row>
    <row r="255" ht="15.75" customHeight="1">
      <c r="A255" s="1"/>
      <c r="B255" s="1"/>
    </row>
    <row r="256" ht="15.75" customHeight="1">
      <c r="A256" s="1"/>
      <c r="B256" s="1"/>
    </row>
    <row r="257" ht="15.75" customHeight="1">
      <c r="A257" s="1"/>
      <c r="B257" s="1"/>
    </row>
    <row r="258" ht="15.75" customHeight="1">
      <c r="A258" s="1"/>
      <c r="B258" s="1"/>
    </row>
    <row r="259" ht="15.75" customHeight="1">
      <c r="A259" s="1"/>
      <c r="B259" s="1"/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1.0" footer="0.0" header="0.0" left="0.75" right="0.75" top="1.0"/>
  <pageSetup paperSize="9" orientation="portrait"/>
  <drawing r:id="rId1"/>
</worksheet>
</file>